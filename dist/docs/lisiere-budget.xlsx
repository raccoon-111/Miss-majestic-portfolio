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Indicateu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<sst xmlns="http://schemas.openxmlformats.org/spreadsheetml/2006/main" count="154" uniqueCount="84">
  <si>
    <t xml:space="preserve">LISIÈRE — Campagne Meta Ads « Parka Brume » | Répartition du budget média</t>
  </si>
  <si>
    <t xml:space="preserve">Budget total : 2 000 € · Période : 14 septembre – 11 octobre 2026 (4 semaines) · Répartition imposée : 60 % acquisition / 25 % reciblage / 15 % test créatif</t>
  </si>
  <si>
    <t xml:space="preserve">Entreprise fictive créée pour un projet de portfolio. Les montants sont des hypothèses de travail ; les repères de l'onglet « Indicateurs » sont, eux, issus de sources réelles.</t>
  </si>
  <si>
    <t xml:space="preserve">LÉGENDE — Modifiez uniquement la colonne D (Montant), en bleu. Toutes les autres valeurs et tous les totaux sont calculés par formule et se mettent à jour automatiquement.</t>
  </si>
  <si>
    <t xml:space="preserve">Audience</t>
  </si>
  <si>
    <t xml:space="preserve">Phase</t>
  </si>
  <si>
    <t xml:space="preserve">Semaine</t>
  </si>
  <si>
    <t xml:space="preserve">Montant (€)</t>
  </si>
  <si>
    <t xml:space="preserve">% du budget total</t>
  </si>
  <si>
    <t xml:space="preserve">AS1 — Acquisition large</t>
  </si>
  <si>
    <t xml:space="preserve">Acquisition</t>
  </si>
  <si>
    <t xml:space="preserve">S1 (14–20 sept.)</t>
  </si>
  <si>
    <t xml:space="preserve">S2 (21–27 sept.)</t>
  </si>
  <si>
    <t xml:space="preserve">S3 (28 sept.–4 oct.)</t>
  </si>
  <si>
    <t xml:space="preserve">S4 (5–11 oct.)</t>
  </si>
  <si>
    <t xml:space="preserve">AS2 — Similaire 2 % acheteurs</t>
  </si>
  <si>
    <t xml:space="preserve">AS3 — Reciblage chaud</t>
  </si>
  <si>
    <t xml:space="preserve">Reciblage</t>
  </si>
  <si>
    <t xml:space="preserve">AS4 — Laboratoire créatif</t>
  </si>
  <si>
    <t xml:space="preserve">Test créatif</t>
  </si>
  <si>
    <t xml:space="preserve">TOTAL GÉNÉRAL</t>
  </si>
  <si>
    <t xml:space="preserve">TOTAUX — Par audience</t>
  </si>
  <si>
    <t xml:space="preserve">Par audience</t>
  </si>
  <si>
    <t xml:space="preserve">Budget quotidien (€)</t>
  </si>
  <si>
    <t xml:space="preserve">Sous-total</t>
  </si>
  <si>
    <t xml:space="preserve">TOTAUX — Par phase</t>
  </si>
  <si>
    <t xml:space="preserve">Par phase</t>
  </si>
  <si>
    <t xml:space="preserve">TOTAUX — Par semaine</t>
  </si>
  <si>
    <t xml:space="preserve">Par semaine</t>
  </si>
  <si>
    <t xml:space="preserve">CONTRÔLE DE COHÉRENCE</t>
  </si>
  <si>
    <t xml:space="preserve">Somme des lignes = total général</t>
  </si>
  <si>
    <t xml:space="preserve">Total par audience = total général</t>
  </si>
  <si>
    <t xml:space="preserve">Total par phase = total général</t>
  </si>
  <si>
    <t xml:space="preserve">Total par semaine = total général</t>
  </si>
  <si>
    <t xml:space="preserve">Part acquisition (cible 60 %)</t>
  </si>
  <si>
    <t xml:space="preserve">Part reciblage (cible 25 %)</t>
  </si>
  <si>
    <t xml:space="preserve">Part test créatif (cible 15 %)</t>
  </si>
  <si>
    <t xml:space="preserve">Note d'exécution : les montants hebdomadaires sont des enveloppes cibles. Toute hausse de budget est appliquée par paliers de 20 % maximum toutes les 72 h, une variation supérieure à 20 % réinitialisant la phase d'apprentissage de l'ensemble de publicités concerné (source : documentation agence citée en section F du rapport).</t>
  </si>
  <si>
    <t xml:space="preserve">AS3 (reciblage) ne diffuse pas en semaine 1 : ses audiences de reciblage n'existent pas encore. Son budget quotidien est donc calculé sur 21 jours et non 28.</t>
  </si>
  <si>
    <t xml:space="preserve">LISIÈRE — Tableau de bord des indicateurs de campagne</t>
  </si>
  <si>
    <t xml:space="preserve">Repères de marché issus de recherches réelles menées le 26/08/2026 (sources détaillées en section F du rapport). Objectifs dérivés du modèle de tunnel de la section E.3.</t>
  </si>
  <si>
    <t xml:space="preserve">LÉGENDE — Remplissez uniquement la colonne D (« Résultat réel ») après le lancement. L'écart et la couleur se calculent automatiquement : vert si l'objectif est atteint, rouge sinon. La colonne F indique le sens de lecture (pour le CPM, le CPC et le CPA, plus bas est meilleur).</t>
  </si>
  <si>
    <t xml:space="preserve">Métrique</t>
  </si>
  <si>
    <t xml:space="preserve">Repère marché (source)</t>
  </si>
  <si>
    <t xml:space="preserve">Objectif fixé pour cette campagne</t>
  </si>
  <si>
    <t xml:space="preserve">Résultat réel</t>
  </si>
  <si>
    <t xml:space="preserve">Écart en %</t>
  </si>
  <si>
    <t xml:space="preserve">Sens de lecture</t>
  </si>
  <si>
    <t xml:space="preserve">CPM</t>
  </si>
  <si>
    <t xml:space="preserve">≈ 9 € moyenne France (Vision Plus) · 12–18 € sur audiences mode/beauté e-commerce FR (Digiflow) · 14,19 $ monde, +20,1 % sur un an (get-ryze)</t>
  </si>
  <si>
    <t xml:space="preserve">↓ plus bas = mieux</t>
  </si>
  <si>
    <t xml:space="preserve">CTR (lien)</t>
  </si>
  <si>
    <t xml:space="preserve">1,55 % tous secteurs · 1,95 % habillement (get-ryze) · 2,53 % en prospection (Ruche &amp; Pollen)</t>
  </si>
  <si>
    <t xml:space="preserve">↑ plus haut = mieux</t>
  </si>
  <si>
    <t xml:space="preserve">CPC</t>
  </si>
  <si>
    <t xml:space="preserve">0,30–0,70 € FR, pics à 1,50 € (Vision Plus) · 0,50–2 € e-commerce FR (Winleads) · 0,45 $ habillement (get-ryze)</t>
  </si>
  <si>
    <t xml:space="preserve">Taux de conversion</t>
  </si>
  <si>
    <t xml:space="preserve">1,5–3 % en France selon secteur (Contentsquare / Fevad) · ≈ 1,60 % sur trafic Meta e-commerce (panel ≈ 35 000 marques)</t>
  </si>
  <si>
    <t xml:space="preserve">CPA</t>
  </si>
  <si>
    <t xml:space="preserve">38,19 $ tous secteurs · 29,99 $ e-commerce (get-ryze) — seuil de rentabilité LISIÈRE : 95,70 €</t>
  </si>
  <si>
    <t xml:space="preserve">ROAS</t>
  </si>
  <si>
    <t xml:space="preserve">1,86 médiane e-commerce DTC monde (panel ≈ 35 000 marques) · ≈ 4,2 e-commerce France (Digiflow) — seuil de rentabilité : 1,72</t>
  </si>
  <si>
    <t xml:space="preserve">EXEMPLE DE REMPLISSAGE — à supprimer avant utilisation</t>
  </si>
  <si>
    <t xml:space="preserve">38,19 $ tous secteurs · 29,99 $ e-commerce (get-ryze)</t>
  </si>
  <si>
    <t xml:space="preserve">Lecture : le CPA réel de 41,20 € est inférieur à l'objectif de 46,50 €, soit un écart de −11,4 % → objectif atteint, cellule verte.</t>
  </si>
  <si>
    <t xml:space="preserve">INDICATEURS COMPLÉMENTAIRES — à suivre en pilotage, sans objectif contractuel</t>
  </si>
  <si>
    <t xml:space="preserve">Indicateur</t>
  </si>
  <si>
    <t xml:space="preserve">À quoi il sert</t>
  </si>
  <si>
    <t xml:space="preserve">Seuil d'alerte</t>
  </si>
  <si>
    <t xml:space="preserve">Taux d'accroche (vues 3 s ÷ impressions)</t>
  </si>
  <si>
    <t xml:space="preserve">Signal créatif avancé : disponible 2 à 3 jours avant le CPA</t>
  </si>
  <si>
    <t xml:space="preserve">&lt; 20 % → revoir les 2 premières secondes</t>
  </si>
  <si>
    <t xml:space="preserve">Taux de rétention (vues complètes ÷ vues 3 s)</t>
  </si>
  <si>
    <t xml:space="preserve">Vérifie que l'accroche tient sa promesse</t>
  </si>
  <si>
    <t xml:space="preserve">&lt; 20 % → accroche trompeuse</t>
  </si>
  <si>
    <t xml:space="preserve">Fréquence</t>
  </si>
  <si>
    <t xml:space="preserve">Mesure la saturation de l'audience</t>
  </si>
  <si>
    <t xml:space="preserve">&gt; 3,5 → rotation créative immédiate</t>
  </si>
  <si>
    <t xml:space="preserve">Part de nouveaux clients</t>
  </si>
  <si>
    <t xml:space="preserve">Garde-fou contre une campagne qui rachète des clients déjà acquis</t>
  </si>
  <si>
    <t xml:space="preserve">&lt; 65 % → rééquilibrer vers l'acquisition</t>
  </si>
  <si>
    <t xml:space="preserve">Ratio d'efficacité média : CA total du site ÷ dépense publicitaire</t>
  </si>
  <si>
    <t xml:space="preserve">Contre-mesure à la sur-attribution du reciblage</t>
  </si>
  <si>
    <t xml:space="preserve">En baisse vs période précédente → alerte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</si>
</sst>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"/>
    <numFmt numFmtId="166" formatCode="0.0%"/>
    <numFmt numFmtId="167" formatCode="#,##0.00&quot; €&quot;"/>
    <numFmt numFmtId="168" formatCode="\+0.0%;\-0.0%;0.0%"/>
    <numFmt numFmtId="169" formatCode="0.00%"/>
    <numFmt numFmtId="170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93D"/>
      <name val="Arial"/>
      <family val="0"/>
      <charset val="1"/>
    </font>
    <font>
      <i val="true"/>
      <sz val="9"/>
      <color rgb="FF41586B"/>
      <name val="Arial"/>
      <family val="0"/>
      <charset val="1"/>
    </font>
    <font>
      <i val="true"/>
      <sz val="8"/>
      <color rgb="FF8A6BB0"/>
      <name val="Arial"/>
      <family val="0"/>
      <charset val="1"/>
    </font>
    <font>
      <b val="true"/>
      <sz val="9"/>
      <color rgb="FF7A35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E2542C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7A3512"/>
      <name val="Arial"/>
      <family val="0"/>
      <charset val="1"/>
    </font>
    <font>
      <i val="true"/>
      <sz val="8"/>
      <color rgb="FF41586B"/>
      <name val="Arial"/>
      <family val="0"/>
      <charset val="1"/>
    </font>
    <font>
      <b val="true"/>
      <sz val="9"/>
      <color rgb="FF8A6BB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3293D"/>
        <bgColor rgb="FF333333"/>
      </patternFill>
    </fill>
    <fill>
      <patternFill patternType="solid">
        <fgColor rgb="FF41586B"/>
        <bgColor rgb="FF333333"/>
      </patternFill>
    </fill>
    <fill>
      <patternFill patternType="solid">
        <fgColor rgb="FFFFFFFF"/>
        <bgColor rgb="FFFFF2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D2DC"/>
      </left>
      <right style="thin">
        <color rgb="FFC6D2DC"/>
      </right>
      <top style="thin">
        <color rgb="FFC6D2DC"/>
      </top>
      <bottom style="thin">
        <color rgb="FFC6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2542C"/>
      <rgbColor rgb="FF8A6BB0"/>
      <rgbColor rgb="FF969696"/>
      <rgbColor rgb="FF13293D"/>
      <rgbColor rgb="FF339966"/>
      <rgbColor rgb="FF003300"/>
      <rgbColor rgb="FF333300"/>
      <rgbColor rgb="FF7A3512"/>
      <rgbColor rgb="FF993366"/>
      <rgbColor rgb="FF4158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</row>
    <row r="7" customFormat="false" ht="15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</row>
    <row r="8" customFormat="false" ht="15" hidden="false" customHeight="true" outlineLevel="0" collapsed="false">
      <c r="A8" s="7" t="s">
        <v>9</v>
      </c>
      <c r="B8" s="7" t="s">
        <v>10</v>
      </c>
      <c r="C8" s="7" t="s">
        <v>11</v>
      </c>
      <c r="D8" s="8" t="n">
        <v>150</v>
      </c>
      <c r="E8" s="9" t="n">
        <f aca="false">IF($D$24=0,0,D8/$D$24)</f>
        <v>0.075</v>
      </c>
    </row>
    <row r="9" customFormat="false" ht="15" hidden="false" customHeight="true" outlineLevel="0" collapsed="false">
      <c r="A9" s="7" t="s">
        <v>9</v>
      </c>
      <c r="B9" s="7" t="s">
        <v>10</v>
      </c>
      <c r="C9" s="7" t="s">
        <v>12</v>
      </c>
      <c r="D9" s="8" t="n">
        <v>200</v>
      </c>
      <c r="E9" s="9" t="n">
        <f aca="false">IF($D$24=0,0,D9/$D$24)</f>
        <v>0.1</v>
      </c>
    </row>
    <row r="10" customFormat="false" ht="15" hidden="false" customHeight="true" outlineLevel="0" collapsed="false">
      <c r="A10" s="7" t="s">
        <v>9</v>
      </c>
      <c r="B10" s="7" t="s">
        <v>10</v>
      </c>
      <c r="C10" s="7" t="s">
        <v>13</v>
      </c>
      <c r="D10" s="8" t="n">
        <v>270</v>
      </c>
      <c r="E10" s="9" t="n">
        <f aca="false">IF($D$24=0,0,D10/$D$24)</f>
        <v>0.135</v>
      </c>
    </row>
    <row r="11" customFormat="false" ht="15" hidden="false" customHeight="true" outlineLevel="0" collapsed="false">
      <c r="A11" s="7" t="s">
        <v>9</v>
      </c>
      <c r="B11" s="7" t="s">
        <v>10</v>
      </c>
      <c r="C11" s="7" t="s">
        <v>14</v>
      </c>
      <c r="D11" s="8" t="n">
        <v>280</v>
      </c>
      <c r="E11" s="9" t="n">
        <f aca="false">IF($D$24=0,0,D11/$D$24)</f>
        <v>0.14</v>
      </c>
    </row>
    <row r="12" customFormat="false" ht="15" hidden="false" customHeight="true" outlineLevel="0" collapsed="false">
      <c r="A12" s="7" t="s">
        <v>15</v>
      </c>
      <c r="B12" s="7" t="s">
        <v>10</v>
      </c>
      <c r="C12" s="7" t="s">
        <v>11</v>
      </c>
      <c r="D12" s="8" t="n">
        <v>50</v>
      </c>
      <c r="E12" s="9" t="n">
        <f aca="false">IF($D$24=0,0,D12/$D$24)</f>
        <v>0.025</v>
      </c>
    </row>
    <row r="13" customFormat="false" ht="15" hidden="false" customHeight="true" outlineLevel="0" collapsed="false">
      <c r="A13" s="7" t="s">
        <v>15</v>
      </c>
      <c r="B13" s="7" t="s">
        <v>10</v>
      </c>
      <c r="C13" s="7" t="s">
        <v>12</v>
      </c>
      <c r="D13" s="8" t="n">
        <v>70</v>
      </c>
      <c r="E13" s="9" t="n">
        <f aca="false">IF($D$24=0,0,D13/$D$24)</f>
        <v>0.035</v>
      </c>
    </row>
    <row r="14" customFormat="false" ht="15" hidden="false" customHeight="true" outlineLevel="0" collapsed="false">
      <c r="A14" s="7" t="s">
        <v>15</v>
      </c>
      <c r="B14" s="7" t="s">
        <v>10</v>
      </c>
      <c r="C14" s="7" t="s">
        <v>13</v>
      </c>
      <c r="D14" s="8" t="n">
        <v>90</v>
      </c>
      <c r="E14" s="9" t="n">
        <f aca="false">IF($D$24=0,0,D14/$D$24)</f>
        <v>0.045</v>
      </c>
    </row>
    <row r="15" customFormat="false" ht="15" hidden="false" customHeight="true" outlineLevel="0" collapsed="false">
      <c r="A15" s="7" t="s">
        <v>15</v>
      </c>
      <c r="B15" s="7" t="s">
        <v>10</v>
      </c>
      <c r="C15" s="7" t="s">
        <v>14</v>
      </c>
      <c r="D15" s="8" t="n">
        <v>90</v>
      </c>
      <c r="E15" s="9" t="n">
        <f aca="false">IF($D$24=0,0,D15/$D$24)</f>
        <v>0.045</v>
      </c>
    </row>
    <row r="16" customFormat="false" ht="15" hidden="false" customHeight="true" outlineLevel="0" collapsed="false">
      <c r="A16" s="7" t="s">
        <v>16</v>
      </c>
      <c r="B16" s="7" t="s">
        <v>17</v>
      </c>
      <c r="C16" s="7" t="s">
        <v>11</v>
      </c>
      <c r="D16" s="8" t="n">
        <v>0</v>
      </c>
      <c r="E16" s="9" t="n">
        <f aca="false">IF($D$24=0,0,D16/$D$24)</f>
        <v>0</v>
      </c>
    </row>
    <row r="17" customFormat="false" ht="15" hidden="false" customHeight="true" outlineLevel="0" collapsed="false">
      <c r="A17" s="7" t="s">
        <v>16</v>
      </c>
      <c r="B17" s="7" t="s">
        <v>17</v>
      </c>
      <c r="C17" s="7" t="s">
        <v>12</v>
      </c>
      <c r="D17" s="8" t="n">
        <v>120</v>
      </c>
      <c r="E17" s="9" t="n">
        <f aca="false">IF($D$24=0,0,D17/$D$24)</f>
        <v>0.06</v>
      </c>
    </row>
    <row r="18" customFormat="false" ht="15" hidden="false" customHeight="true" outlineLevel="0" collapsed="false">
      <c r="A18" s="7" t="s">
        <v>16</v>
      </c>
      <c r="B18" s="7" t="s">
        <v>17</v>
      </c>
      <c r="C18" s="7" t="s">
        <v>13</v>
      </c>
      <c r="D18" s="8" t="n">
        <v>170</v>
      </c>
      <c r="E18" s="9" t="n">
        <f aca="false">IF($D$24=0,0,D18/$D$24)</f>
        <v>0.085</v>
      </c>
    </row>
    <row r="19" customFormat="false" ht="15" hidden="false" customHeight="true" outlineLevel="0" collapsed="false">
      <c r="A19" s="7" t="s">
        <v>16</v>
      </c>
      <c r="B19" s="7" t="s">
        <v>17</v>
      </c>
      <c r="C19" s="7" t="s">
        <v>14</v>
      </c>
      <c r="D19" s="8" t="n">
        <v>210</v>
      </c>
      <c r="E19" s="9" t="n">
        <f aca="false">IF($D$24=0,0,D19/$D$24)</f>
        <v>0.105</v>
      </c>
    </row>
    <row r="20" customFormat="false" ht="15" hidden="false" customHeight="true" outlineLevel="0" collapsed="false">
      <c r="A20" s="7" t="s">
        <v>18</v>
      </c>
      <c r="B20" s="7" t="s">
        <v>19</v>
      </c>
      <c r="C20" s="7" t="s">
        <v>11</v>
      </c>
      <c r="D20" s="8" t="n">
        <v>150</v>
      </c>
      <c r="E20" s="9" t="n">
        <f aca="false">IF($D$24=0,0,D20/$D$24)</f>
        <v>0.075</v>
      </c>
    </row>
    <row r="21" customFormat="false" ht="15" hidden="false" customHeight="true" outlineLevel="0" collapsed="false">
      <c r="A21" s="7" t="s">
        <v>18</v>
      </c>
      <c r="B21" s="7" t="s">
        <v>19</v>
      </c>
      <c r="C21" s="7" t="s">
        <v>12</v>
      </c>
      <c r="D21" s="8" t="n">
        <v>100</v>
      </c>
      <c r="E21" s="9" t="n">
        <f aca="false">IF($D$24=0,0,D21/$D$24)</f>
        <v>0.05</v>
      </c>
    </row>
    <row r="22" customFormat="false" ht="15" hidden="false" customHeight="true" outlineLevel="0" collapsed="false">
      <c r="A22" s="7" t="s">
        <v>18</v>
      </c>
      <c r="B22" s="7" t="s">
        <v>19</v>
      </c>
      <c r="C22" s="7" t="s">
        <v>13</v>
      </c>
      <c r="D22" s="8" t="n">
        <v>30</v>
      </c>
      <c r="E22" s="9" t="n">
        <f aca="false">IF($D$24=0,0,D22/$D$24)</f>
        <v>0.015</v>
      </c>
    </row>
    <row r="23" customFormat="false" ht="15" hidden="false" customHeight="true" outlineLevel="0" collapsed="false">
      <c r="A23" s="7" t="s">
        <v>18</v>
      </c>
      <c r="B23" s="7" t="s">
        <v>19</v>
      </c>
      <c r="C23" s="7" t="s">
        <v>14</v>
      </c>
      <c r="D23" s="8" t="n">
        <v>20</v>
      </c>
      <c r="E23" s="9" t="n">
        <f aca="false">IF($D$24=0,0,D23/$D$24)</f>
        <v>0.01</v>
      </c>
    </row>
    <row r="24" customFormat="false" ht="15" hidden="false" customHeight="true" outlineLevel="0" collapsed="false">
      <c r="A24" s="10" t="s">
        <v>20</v>
      </c>
      <c r="B24" s="10"/>
      <c r="C24" s="10"/>
      <c r="D24" s="11" t="n">
        <f aca="false">SUM(D8:D23)</f>
        <v>2000</v>
      </c>
      <c r="E24" s="12" t="n">
        <f aca="false">SUM(E8:E23)</f>
        <v>1</v>
      </c>
    </row>
    <row r="26" customFormat="false" ht="15" hidden="false" customHeight="true" outlineLevel="0" collapsed="false">
      <c r="A26" s="13" t="s">
        <v>21</v>
      </c>
    </row>
    <row r="27" customFormat="false" ht="21.75" hidden="false" customHeight="true" outlineLevel="0" collapsed="false">
      <c r="A27" s="6" t="s">
        <v>22</v>
      </c>
      <c r="B27" s="6" t="s">
        <v>7</v>
      </c>
      <c r="C27" s="6" t="s">
        <v>8</v>
      </c>
      <c r="D27" s="6" t="s">
        <v>23</v>
      </c>
    </row>
    <row r="28" customFormat="false" ht="15" hidden="false" customHeight="true" outlineLevel="0" collapsed="false">
      <c r="A28" s="7" t="s">
        <v>9</v>
      </c>
      <c r="B28" s="14" t="n">
        <f aca="false">SUMIFS($D$8:$D$23,$A$8:$A$23,$A28)</f>
        <v>900</v>
      </c>
      <c r="C28" s="15" t="n">
        <f aca="false">IF($D$24=0,0,B28/$D$24)</f>
        <v>0.45</v>
      </c>
      <c r="D28" s="16" t="n">
        <f aca="false">B28/28</f>
        <v>32.1428571428571</v>
      </c>
    </row>
    <row r="29" customFormat="false" ht="15" hidden="false" customHeight="true" outlineLevel="0" collapsed="false">
      <c r="A29" s="7" t="s">
        <v>15</v>
      </c>
      <c r="B29" s="14" t="n">
        <f aca="false">SUMIFS($D$8:$D$23,$A$8:$A$23,$A29)</f>
        <v>300</v>
      </c>
      <c r="C29" s="15" t="n">
        <f aca="false">IF($D$24=0,0,B29/$D$24)</f>
        <v>0.15</v>
      </c>
      <c r="D29" s="16" t="n">
        <f aca="false">B29/28</f>
        <v>10.7142857142857</v>
      </c>
    </row>
    <row r="30" customFormat="false" ht="15" hidden="false" customHeight="true" outlineLevel="0" collapsed="false">
      <c r="A30" s="7" t="s">
        <v>16</v>
      </c>
      <c r="B30" s="14" t="n">
        <f aca="false">SUMIFS($D$8:$D$23,$A$8:$A$23,$A30)</f>
        <v>500</v>
      </c>
      <c r="C30" s="15" t="n">
        <f aca="false">IF($D$24=0,0,B30/$D$24)</f>
        <v>0.25</v>
      </c>
      <c r="D30" s="16" t="n">
        <f aca="false">B30/28</f>
        <v>17.8571428571429</v>
      </c>
    </row>
    <row r="31" customFormat="false" ht="15" hidden="false" customHeight="true" outlineLevel="0" collapsed="false">
      <c r="A31" s="7" t="s">
        <v>18</v>
      </c>
      <c r="B31" s="14" t="n">
        <f aca="false">SUMIFS($D$8:$D$23,$A$8:$A$23,$A31)</f>
        <v>300</v>
      </c>
      <c r="C31" s="15" t="n">
        <f aca="false">IF($D$24=0,0,B31/$D$24)</f>
        <v>0.15</v>
      </c>
      <c r="D31" s="16" t="n">
        <f aca="false">B31/28</f>
        <v>10.7142857142857</v>
      </c>
    </row>
    <row r="32" customFormat="false" ht="15" hidden="false" customHeight="true" outlineLevel="0" collapsed="false">
      <c r="A32" s="17" t="s">
        <v>24</v>
      </c>
      <c r="B32" s="18" t="n">
        <f aca="false">SUM(B28:B31)</f>
        <v>2000</v>
      </c>
      <c r="C32" s="19" t="n">
        <f aca="false">SUM(C28:C31)</f>
        <v>1</v>
      </c>
      <c r="D32" s="20"/>
    </row>
    <row r="34" customFormat="false" ht="15" hidden="false" customHeight="true" outlineLevel="0" collapsed="false">
      <c r="A34" s="13" t="s">
        <v>25</v>
      </c>
    </row>
    <row r="35" customFormat="false" ht="21.75" hidden="false" customHeight="true" outlineLevel="0" collapsed="false">
      <c r="A35" s="6" t="s">
        <v>26</v>
      </c>
      <c r="B35" s="6" t="s">
        <v>7</v>
      </c>
      <c r="C35" s="6" t="s">
        <v>8</v>
      </c>
      <c r="D35" s="6" t="s">
        <v>23</v>
      </c>
    </row>
    <row r="36" customFormat="false" ht="15" hidden="false" customHeight="true" outlineLevel="0" collapsed="false">
      <c r="A36" s="7" t="s">
        <v>10</v>
      </c>
      <c r="B36" s="14" t="n">
        <f aca="false">SUMIFS($D$8:$D$23,$B$8:$B$23,$A36)</f>
        <v>1200</v>
      </c>
      <c r="C36" s="15" t="n">
        <f aca="false">IF($D$24=0,0,B36/$D$24)</f>
        <v>0.6</v>
      </c>
      <c r="D36" s="16" t="n">
        <f aca="false">B36/28</f>
        <v>42.8571428571429</v>
      </c>
    </row>
    <row r="37" customFormat="false" ht="15" hidden="false" customHeight="true" outlineLevel="0" collapsed="false">
      <c r="A37" s="7" t="s">
        <v>17</v>
      </c>
      <c r="B37" s="14" t="n">
        <f aca="false">SUMIFS($D$8:$D$23,$B$8:$B$23,$A37)</f>
        <v>500</v>
      </c>
      <c r="C37" s="15" t="n">
        <f aca="false">IF($D$24=0,0,B37/$D$24)</f>
        <v>0.25</v>
      </c>
      <c r="D37" s="16" t="n">
        <f aca="false">B37/21</f>
        <v>23.8095238095238</v>
      </c>
    </row>
    <row r="38" customFormat="false" ht="15" hidden="false" customHeight="true" outlineLevel="0" collapsed="false">
      <c r="A38" s="7" t="s">
        <v>19</v>
      </c>
      <c r="B38" s="14" t="n">
        <f aca="false">SUMIFS($D$8:$D$23,$B$8:$B$23,$A38)</f>
        <v>300</v>
      </c>
      <c r="C38" s="15" t="n">
        <f aca="false">IF($D$24=0,0,B38/$D$24)</f>
        <v>0.15</v>
      </c>
      <c r="D38" s="16" t="n">
        <f aca="false">B38/28</f>
        <v>10.7142857142857</v>
      </c>
    </row>
    <row r="39" customFormat="false" ht="15" hidden="false" customHeight="true" outlineLevel="0" collapsed="false">
      <c r="A39" s="17" t="s">
        <v>24</v>
      </c>
      <c r="B39" s="18" t="n">
        <f aca="false">SUM(B36:B38)</f>
        <v>2000</v>
      </c>
      <c r="C39" s="19" t="n">
        <f aca="false">SUM(C36:C38)</f>
        <v>1</v>
      </c>
      <c r="D39" s="20"/>
    </row>
    <row r="41" customFormat="false" ht="15" hidden="false" customHeight="true" outlineLevel="0" collapsed="false">
      <c r="A41" s="13" t="s">
        <v>27</v>
      </c>
    </row>
    <row r="42" customFormat="false" ht="21.75" hidden="false" customHeight="true" outlineLevel="0" collapsed="false">
      <c r="A42" s="6" t="s">
        <v>28</v>
      </c>
      <c r="B42" s="6" t="s">
        <v>7</v>
      </c>
      <c r="C42" s="6" t="s">
        <v>8</v>
      </c>
      <c r="D42" s="6" t="s">
        <v>23</v>
      </c>
    </row>
    <row r="43" customFormat="false" ht="15" hidden="false" customHeight="true" outlineLevel="0" collapsed="false">
      <c r="A43" s="7" t="s">
        <v>11</v>
      </c>
      <c r="B43" s="14" t="n">
        <f aca="false">SUMIFS($D$8:$D$23,$C$8:$C$23,$A43)</f>
        <v>350</v>
      </c>
      <c r="C43" s="15" t="n">
        <f aca="false">IF($D$24=0,0,B43/$D$24)</f>
        <v>0.175</v>
      </c>
      <c r="D43" s="16" t="n">
        <f aca="false">B43/7</f>
        <v>50</v>
      </c>
    </row>
    <row r="44" customFormat="false" ht="15" hidden="false" customHeight="true" outlineLevel="0" collapsed="false">
      <c r="A44" s="7" t="s">
        <v>12</v>
      </c>
      <c r="B44" s="14" t="n">
        <f aca="false">SUMIFS($D$8:$D$23,$C$8:$C$23,$A44)</f>
        <v>490</v>
      </c>
      <c r="C44" s="15" t="n">
        <f aca="false">IF($D$24=0,0,B44/$D$24)</f>
        <v>0.245</v>
      </c>
      <c r="D44" s="16" t="n">
        <f aca="false">B44/7</f>
        <v>70</v>
      </c>
    </row>
    <row r="45" customFormat="false" ht="15" hidden="false" customHeight="true" outlineLevel="0" collapsed="false">
      <c r="A45" s="7" t="s">
        <v>13</v>
      </c>
      <c r="B45" s="14" t="n">
        <f aca="false">SUMIFS($D$8:$D$23,$C$8:$C$23,$A45)</f>
        <v>560</v>
      </c>
      <c r="C45" s="15" t="n">
        <f aca="false">IF($D$24=0,0,B45/$D$24)</f>
        <v>0.28</v>
      </c>
      <c r="D45" s="16" t="n">
        <f aca="false">B45/7</f>
        <v>80</v>
      </c>
    </row>
    <row r="46" customFormat="false" ht="15" hidden="false" customHeight="true" outlineLevel="0" collapsed="false">
      <c r="A46" s="7" t="s">
        <v>14</v>
      </c>
      <c r="B46" s="14" t="n">
        <f aca="false">SUMIFS($D$8:$D$23,$C$8:$C$23,$A46)</f>
        <v>600</v>
      </c>
      <c r="C46" s="15" t="n">
        <f aca="false">IF($D$24=0,0,B46/$D$24)</f>
        <v>0.3</v>
      </c>
      <c r="D46" s="16" t="n">
        <f aca="false">B46/7</f>
        <v>85.7142857142857</v>
      </c>
    </row>
    <row r="47" customFormat="false" ht="15" hidden="false" customHeight="true" outlineLevel="0" collapsed="false">
      <c r="A47" s="17" t="s">
        <v>24</v>
      </c>
      <c r="B47" s="18" t="n">
        <f aca="false">SUM(B43:B46)</f>
        <v>2000</v>
      </c>
      <c r="C47" s="19" t="n">
        <f aca="false">SUM(C43:C46)</f>
        <v>1</v>
      </c>
      <c r="D47" s="20"/>
    </row>
    <row r="49" customFormat="false" ht="15" hidden="false" customHeight="true" outlineLevel="0" collapsed="false">
      <c r="A49" s="13" t="s">
        <v>29</v>
      </c>
    </row>
    <row r="50" customFormat="false" ht="15" hidden="false" customHeight="true" outlineLevel="0" collapsed="false">
      <c r="A50" s="7" t="s">
        <v>30</v>
      </c>
      <c r="B50" s="21" t="str">
        <f aca="false">IF(ROUND(SUM(D8:D23),2)=ROUND(D24,2),"OK","ÉCART")</f>
        <v>OK</v>
      </c>
    </row>
    <row r="51" customFormat="false" ht="15" hidden="false" customHeight="true" outlineLevel="0" collapsed="false">
      <c r="A51" s="7" t="s">
        <v>31</v>
      </c>
      <c r="B51" s="21" t="str">
        <f aca="false">IF(ROUND(B32,2)=ROUND(D24,2),"OK","ÉCART")</f>
        <v>OK</v>
      </c>
    </row>
    <row r="52" customFormat="false" ht="15" hidden="false" customHeight="true" outlineLevel="0" collapsed="false">
      <c r="A52" s="7" t="s">
        <v>32</v>
      </c>
      <c r="B52" s="21" t="str">
        <f aca="false">IF(ROUND(B39,2)=ROUND(D24,2),"OK","ÉCART")</f>
        <v>OK</v>
      </c>
    </row>
    <row r="53" customFormat="false" ht="15" hidden="false" customHeight="true" outlineLevel="0" collapsed="false">
      <c r="A53" s="7" t="s">
        <v>33</v>
      </c>
      <c r="B53" s="21" t="str">
        <f aca="false">IF(ROUND(B47,2)=ROUND(D24,2),"OK","ÉCART")</f>
        <v>OK</v>
      </c>
    </row>
    <row r="54" customFormat="false" ht="15" hidden="false" customHeight="true" outlineLevel="0" collapsed="false">
      <c r="A54" s="7" t="s">
        <v>34</v>
      </c>
      <c r="B54" s="22" t="n">
        <f aca="false">IF($D$24=0,0,SUMIFS($D$8:$D$23,$B$8:$B$23,"Acquisition")/$D$24)</f>
        <v>0.6</v>
      </c>
    </row>
    <row r="55" customFormat="false" ht="15" hidden="false" customHeight="true" outlineLevel="0" collapsed="false">
      <c r="A55" s="7" t="s">
        <v>35</v>
      </c>
      <c r="B55" s="22" t="n">
        <f aca="false">IF($D$24=0,0,SUMIFS($D$8:$D$23,$B$8:$B$23,"Reciblage")/$D$24)</f>
        <v>0.25</v>
      </c>
    </row>
    <row r="56" customFormat="false" ht="15" hidden="false" customHeight="true" outlineLevel="0" collapsed="false">
      <c r="A56" s="7" t="s">
        <v>36</v>
      </c>
      <c r="B56" s="22" t="n">
        <f aca="false">IF($D$24=0,0,SUMIFS($D$8:$D$23,$B$8:$B$23,"Test créatif")/$D$24)</f>
        <v>0.15</v>
      </c>
    </row>
    <row r="58" customFormat="false" ht="15" hidden="false" customHeight="true" outlineLevel="0" collapsed="false">
      <c r="A58" s="23" t="s">
        <v>37</v>
      </c>
    </row>
    <row r="59" customFormat="false" ht="15" hidden="false" customHeight="true" outlineLevel="0" collapsed="false">
      <c r="A59" s="2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2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2" t="s">
        <v>39</v>
      </c>
    </row>
    <row r="2" customFormat="false" ht="15" hidden="false" customHeight="true" outlineLevel="0" collapsed="false">
      <c r="A2" s="3" t="s">
        <v>40</v>
      </c>
    </row>
    <row r="4" customFormat="false" ht="15" hidden="false" customHeight="true" outlineLevel="0" collapsed="false">
      <c r="A4" s="5" t="s">
        <v>41</v>
      </c>
    </row>
    <row r="6" customFormat="false" ht="30" hidden="false" customHeight="true" outlineLevel="0" collapsed="false">
      <c r="A6" s="6" t="s">
        <v>42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</row>
    <row r="7" customFormat="false" ht="21.75" hidden="false" customHeight="true" outlineLevel="0" collapsed="false">
      <c r="A7" s="25" t="s">
        <v>48</v>
      </c>
      <c r="B7" s="7" t="s">
        <v>49</v>
      </c>
      <c r="C7" s="26" t="n">
        <v>14</v>
      </c>
      <c r="D7" s="27"/>
      <c r="E7" s="28" t="str">
        <f aca="false">IF(OR($D7="",$C7=0),"",($D7-$C7)/$C7)</f>
        <v/>
      </c>
      <c r="F7" s="7" t="s">
        <v>50</v>
      </c>
    </row>
    <row r="8" customFormat="false" ht="21.75" hidden="false" customHeight="true" outlineLevel="0" collapsed="false">
      <c r="A8" s="25" t="s">
        <v>51</v>
      </c>
      <c r="B8" s="7" t="s">
        <v>52</v>
      </c>
      <c r="C8" s="29" t="n">
        <v>0.014</v>
      </c>
      <c r="D8" s="30"/>
      <c r="E8" s="28" t="str">
        <f aca="false">IF(OR($D8="",$C8=0),"",($D8-$C8)/$C8)</f>
        <v/>
      </c>
      <c r="F8" s="7" t="s">
        <v>53</v>
      </c>
    </row>
    <row r="9" customFormat="false" ht="21.75" hidden="false" customHeight="true" outlineLevel="0" collapsed="false">
      <c r="A9" s="25" t="s">
        <v>54</v>
      </c>
      <c r="B9" s="7" t="s">
        <v>55</v>
      </c>
      <c r="C9" s="26" t="n">
        <v>1</v>
      </c>
      <c r="D9" s="27"/>
      <c r="E9" s="28" t="str">
        <f aca="false">IF(OR($D9="",$C9=0),"",($D9-$C9)/$C9)</f>
        <v/>
      </c>
      <c r="F9" s="7" t="s">
        <v>50</v>
      </c>
    </row>
    <row r="10" customFormat="false" ht="21.75" hidden="false" customHeight="true" outlineLevel="0" collapsed="false">
      <c r="A10" s="25" t="s">
        <v>56</v>
      </c>
      <c r="B10" s="7" t="s">
        <v>57</v>
      </c>
      <c r="C10" s="29" t="n">
        <v>0.023</v>
      </c>
      <c r="D10" s="30"/>
      <c r="E10" s="28" t="str">
        <f aca="false">IF(OR($D10="",$C10=0),"",($D10-$C10)/$C10)</f>
        <v/>
      </c>
      <c r="F10" s="7" t="s">
        <v>53</v>
      </c>
    </row>
    <row r="11" customFormat="false" ht="21.75" hidden="false" customHeight="true" outlineLevel="0" collapsed="false">
      <c r="A11" s="25" t="s">
        <v>58</v>
      </c>
      <c r="B11" s="7" t="s">
        <v>59</v>
      </c>
      <c r="C11" s="26" t="n">
        <v>46.5</v>
      </c>
      <c r="D11" s="27"/>
      <c r="E11" s="28" t="str">
        <f aca="false">IF(OR($D11="",$C11=0),"",($D11-$C11)/$C11)</f>
        <v/>
      </c>
      <c r="F11" s="7" t="s">
        <v>50</v>
      </c>
    </row>
    <row r="12" customFormat="false" ht="21.75" hidden="false" customHeight="true" outlineLevel="0" collapsed="false">
      <c r="A12" s="25" t="s">
        <v>60</v>
      </c>
      <c r="B12" s="7" t="s">
        <v>61</v>
      </c>
      <c r="C12" s="31" t="n">
        <v>3.55</v>
      </c>
      <c r="D12" s="32"/>
      <c r="E12" s="28" t="str">
        <f aca="false">IF(OR($D12="",$C12=0),"",($D12-$C12)/$C12)</f>
        <v/>
      </c>
      <c r="F12" s="7" t="s">
        <v>53</v>
      </c>
    </row>
    <row r="14" customFormat="false" ht="15" hidden="false" customHeight="true" outlineLevel="0" collapsed="false">
      <c r="A14" s="33" t="s">
        <v>62</v>
      </c>
    </row>
    <row r="15" customFormat="false" ht="21.75" hidden="false" customHeight="true" outlineLevel="0" collapsed="false">
      <c r="A15" s="6" t="s">
        <v>42</v>
      </c>
      <c r="B15" s="6" t="s">
        <v>43</v>
      </c>
      <c r="C15" s="6" t="s">
        <v>44</v>
      </c>
      <c r="D15" s="6" t="s">
        <v>45</v>
      </c>
      <c r="E15" s="6" t="s">
        <v>46</v>
      </c>
      <c r="F15" s="6" t="s">
        <v>47</v>
      </c>
    </row>
    <row r="16" customFormat="false" ht="15" hidden="false" customHeight="true" outlineLevel="0" collapsed="false">
      <c r="A16" s="25" t="s">
        <v>58</v>
      </c>
      <c r="B16" s="7" t="s">
        <v>63</v>
      </c>
      <c r="C16" s="16" t="n">
        <v>46.5</v>
      </c>
      <c r="D16" s="16" t="n">
        <v>41.2</v>
      </c>
      <c r="E16" s="34" t="n">
        <f aca="false">IF(OR($D16="",$C16=0),"",($D16-$C16)/$C16)</f>
        <v>-0.113978494623656</v>
      </c>
      <c r="F16" s="7" t="s">
        <v>50</v>
      </c>
    </row>
    <row r="17" customFormat="false" ht="15" hidden="false" customHeight="true" outlineLevel="0" collapsed="false">
      <c r="A17" s="24" t="s">
        <v>64</v>
      </c>
    </row>
    <row r="19" customFormat="false" ht="15" hidden="false" customHeight="true" outlineLevel="0" collapsed="false">
      <c r="A19" s="13" t="s">
        <v>65</v>
      </c>
    </row>
    <row r="20" customFormat="false" ht="15" hidden="false" customHeight="true" outlineLevel="0" collapsed="false">
      <c r="A20" s="6" t="s">
        <v>66</v>
      </c>
      <c r="B20" s="6" t="s">
        <v>67</v>
      </c>
      <c r="C20" s="6" t="s">
        <v>68</v>
      </c>
    </row>
    <row r="21" customFormat="false" ht="21.75" hidden="false" customHeight="true" outlineLevel="0" collapsed="false">
      <c r="A21" s="7" t="s">
        <v>69</v>
      </c>
      <c r="B21" s="7" t="s">
        <v>70</v>
      </c>
      <c r="C21" s="7" t="s">
        <v>71</v>
      </c>
    </row>
    <row r="22" customFormat="false" ht="21.75" hidden="false" customHeight="true" outlineLevel="0" collapsed="false">
      <c r="A22" s="7" t="s">
        <v>72</v>
      </c>
      <c r="B22" s="7" t="s">
        <v>73</v>
      </c>
      <c r="C22" s="7" t="s">
        <v>74</v>
      </c>
    </row>
    <row r="23" customFormat="false" ht="21.75" hidden="false" customHeight="true" outlineLevel="0" collapsed="false">
      <c r="A23" s="7" t="s">
        <v>75</v>
      </c>
      <c r="B23" s="7" t="s">
        <v>76</v>
      </c>
      <c r="C23" s="7" t="s">
        <v>77</v>
      </c>
    </row>
    <row r="24" customFormat="false" ht="21.75" hidden="false" customHeight="true" outlineLevel="0" collapsed="false">
      <c r="A24" s="7" t="s">
        <v>78</v>
      </c>
      <c r="B24" s="7" t="s">
        <v>79</v>
      </c>
      <c r="C24" s="7" t="s">
        <v>80</v>
      </c>
    </row>
    <row r="25" customFormat="false" ht="21.75" hidden="false" customHeight="true" outlineLevel="0" collapsed="false">
      <c r="A25" s="7" t="s">
        <v>81</v>
      </c>
      <c r="B25" s="7" t="s">
        <v>82</v>
      </c>
      <c r="C25" s="7" t="s">
        <v>83</v>
      </c>
    </row>
  </sheetData>
  <conditionalFormatting sqref="E7:E12">
    <cfRule type="expression" priority="2" aboveAverage="0" equalAverage="0" bottom="0" percent="0" rank="0" text="" dxfId="0">
      <formula>AND($D7&lt;&gt;"",OR(AND(LEFT($F7,1)="↑",$E7&gt;=0),AND(LEFT($F7,1)="↓",$E7&lt;=0)))</formula>
    </cfRule>
    <cfRule type="expression" priority="3" aboveAverage="0" equalAverage="0" bottom="0" percent="0" rank="0" text="" dxfId="1">
      <formula>AND($D7&lt;&gt;"",OR(AND(LEFT($F7,1)="↑",$E7&lt;0),AND(LEFT($F7,1)="↓",$E7&gt;0)))</formula>
    </cfRule>
  </conditionalFormatting>
  <conditionalFormatting sqref="D7:D12">
    <cfRule type="expression" priority="4" aboveAverage="0" equalAverage="0" bottom="0" percent="0" rank="0" text="" dxfId="0">
      <formula>AND($D7&lt;&gt;"",OR(AND(LEFT($F7,1)="↑",$D7&gt;=$C7),AND(LEFT($F7,1)="↓",$D7&lt;=$C7)))</formula>
    </cfRule>
    <cfRule type="expression" priority="5" aboveAverage="0" equalAverage="0" bottom="0" percent="0" rank="0" text="" dxfId="1">
      <formula>AND($D7&lt;&gt;"",OR(AND(LEFT($F7,1)="↑",$D7&lt;$C7),AND(LEFT($F7,1)="↓",$D7&gt;$C7)))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2026-08-26T06:38:46Z</dcterms:created>
  <dc:creator>openpyxl</dc:creator>
  <dc:description/>
  <dc:language>en-US</dc:language>
  <cp:lastModifiedBy/>
  <dcterms:modified xsi:type="dcterms:W3CDTF">2026-09-24T02:40:40Z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